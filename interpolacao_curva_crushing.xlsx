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20ca196396dbff/Documentos/TRABALHO/CERTI/PROJETOS/oil-gas-addon/"/>
    </mc:Choice>
  </mc:AlternateContent>
  <xr:revisionPtr revIDLastSave="1" documentId="13_ncr:1_{440F013B-A210-41DF-9CE9-AC60F842C1EA}" xr6:coauthVersionLast="47" xr6:coauthVersionMax="47" xr10:uidLastSave="{FA989446-5FF8-482B-9FDE-CDB9AEF3254D}"/>
  <bookViews>
    <workbookView xWindow="690" yWindow="0" windowWidth="25110" windowHeight="20985" xr2:uid="{212263FA-FE73-45C6-A318-1EB70329A50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C32" i="1"/>
  <c r="E32" i="1"/>
  <c r="B28" i="1"/>
  <c r="B27" i="1"/>
  <c r="B26" i="1"/>
  <c r="B25" i="1"/>
  <c r="F7" i="1"/>
  <c r="D21" i="1" s="1"/>
  <c r="F6" i="1"/>
  <c r="C30" i="1" s="1"/>
  <c r="F8" i="1"/>
  <c r="E30" i="1" s="1"/>
  <c r="E18" i="1"/>
  <c r="D18" i="1"/>
  <c r="C18" i="1"/>
  <c r="B18" i="1"/>
  <c r="F5" i="1"/>
  <c r="B31" i="1" s="1"/>
  <c r="E25" i="1" l="1"/>
  <c r="C25" i="1"/>
  <c r="E27" i="1"/>
  <c r="C27" i="1"/>
  <c r="E29" i="1"/>
  <c r="C29" i="1"/>
  <c r="B29" i="1"/>
  <c r="E26" i="1"/>
  <c r="C26" i="1"/>
  <c r="E28" i="1"/>
  <c r="C28" i="1"/>
  <c r="B30" i="1"/>
  <c r="D20" i="1"/>
  <c r="D24" i="1"/>
  <c r="D22" i="1"/>
  <c r="D19" i="1"/>
  <c r="D23" i="1"/>
  <c r="B34" i="1"/>
  <c r="B19" i="1"/>
  <c r="B38" i="1"/>
  <c r="B37" i="1"/>
  <c r="B36" i="1"/>
  <c r="B35" i="1"/>
  <c r="B33" i="1"/>
  <c r="C23" i="1"/>
  <c r="C22" i="1"/>
  <c r="C21" i="1"/>
  <c r="E20" i="1"/>
  <c r="C20" i="1"/>
  <c r="B23" i="1"/>
  <c r="B22" i="1"/>
  <c r="B21" i="1"/>
  <c r="B20" i="1"/>
  <c r="E36" i="1"/>
  <c r="E33" i="1"/>
  <c r="C35" i="1"/>
  <c r="E31" i="1"/>
  <c r="B24" i="1"/>
  <c r="E37" i="1"/>
  <c r="C38" i="1"/>
  <c r="E34" i="1"/>
  <c r="C34" i="1"/>
  <c r="E24" i="1"/>
  <c r="C19" i="1"/>
  <c r="E35" i="1"/>
  <c r="C37" i="1"/>
  <c r="C36" i="1"/>
  <c r="C33" i="1"/>
  <c r="E23" i="1"/>
  <c r="C31" i="1"/>
  <c r="E22" i="1"/>
  <c r="C24" i="1"/>
  <c r="E21" i="1"/>
  <c r="E19" i="1"/>
</calcChain>
</file>

<file path=xl/sharedStrings.xml><?xml version="1.0" encoding="utf-8"?>
<sst xmlns="http://schemas.openxmlformats.org/spreadsheetml/2006/main" count="13" uniqueCount="13">
  <si>
    <t>APRT VLS 0.007(NT=2)</t>
  </si>
  <si>
    <t>APRT VLS 0.007(NT=1)</t>
  </si>
  <si>
    <t>Max. Tension</t>
  </si>
  <si>
    <t>Max VLS(160V)</t>
  </si>
  <si>
    <t>Max Clamp VLS</t>
  </si>
  <si>
    <t>Max VLS(140V)</t>
  </si>
  <si>
    <t>Crushing Load [tf/belt/m]</t>
  </si>
  <si>
    <t>ELT [tf]</t>
  </si>
  <si>
    <t>m</t>
  </si>
  <si>
    <t>X1</t>
  </si>
  <si>
    <t>X2</t>
  </si>
  <si>
    <t>Y1</t>
  </si>
  <si>
    <t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</si>
</sst>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horizontal="center"/>
    </xf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0" fillId="3" borderId="2" xfId="0" applyFill="1" applyBorder="1"/>
    <xf numFmtId="2" fontId="0" fillId="2" borderId="2" xfId="0" applyNumberFormat="1" applyFill="1" applyBorder="1"/>
    <xf numFmtId="2" fontId="0" fillId="2" borderId="2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Crushing</a:t>
            </a:r>
            <a:r>
              <a:rPr lang="pt-BR" baseline="0"/>
              <a:t> Load Curve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APRT VLS NT=1</c:v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Planilha1!$A$19:$A$38</c:f>
              <c:numCache>
                <c:formatCode>0.00</c:formatCode>
                <c:ptCount val="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85</c:v>
                </c:pt>
                <c:pt idx="4">
                  <c:v>100</c:v>
                </c:pt>
                <c:pt idx="5">
                  <c:v>120</c:v>
                </c:pt>
                <c:pt idx="6">
                  <c:v>124</c:v>
                </c:pt>
                <c:pt idx="7">
                  <c:v>128</c:v>
                </c:pt>
                <c:pt idx="8">
                  <c:v>130</c:v>
                </c:pt>
                <c:pt idx="9">
                  <c:v>133</c:v>
                </c:pt>
                <c:pt idx="10">
                  <c:v>134</c:v>
                </c:pt>
                <c:pt idx="11">
                  <c:v>135</c:v>
                </c:pt>
                <c:pt idx="12">
                  <c:v>136</c:v>
                </c:pt>
                <c:pt idx="13">
                  <c:v>140</c:v>
                </c:pt>
                <c:pt idx="14">
                  <c:v>160</c:v>
                </c:pt>
                <c:pt idx="15">
                  <c:v>180</c:v>
                </c:pt>
                <c:pt idx="16">
                  <c:v>200</c:v>
                </c:pt>
                <c:pt idx="17">
                  <c:v>220</c:v>
                </c:pt>
                <c:pt idx="18">
                  <c:v>240</c:v>
                </c:pt>
                <c:pt idx="19">
                  <c:v>260</c:v>
                </c:pt>
              </c:numCache>
            </c:numRef>
          </c:xVal>
          <c:yVal>
            <c:numRef>
              <c:f>Planilha1!$B$19:$B$38</c:f>
              <c:numCache>
                <c:formatCode>0.00</c:formatCode>
                <c:ptCount val="20"/>
                <c:pt idx="0">
                  <c:v>37.14</c:v>
                </c:pt>
                <c:pt idx="1">
                  <c:v>73.626153846153841</c:v>
                </c:pt>
                <c:pt idx="2">
                  <c:v>110.1123076923077</c:v>
                </c:pt>
                <c:pt idx="3">
                  <c:v>155.72000000000003</c:v>
                </c:pt>
                <c:pt idx="4">
                  <c:v>183.0846153846154</c:v>
                </c:pt>
                <c:pt idx="5">
                  <c:v>219.57076923076926</c:v>
                </c:pt>
                <c:pt idx="6">
                  <c:v>226.86799999999999</c:v>
                </c:pt>
                <c:pt idx="7">
                  <c:v>234.16523076923079</c:v>
                </c:pt>
                <c:pt idx="8">
                  <c:v>237.81384615384616</c:v>
                </c:pt>
                <c:pt idx="9">
                  <c:v>243.28676923076927</c:v>
                </c:pt>
                <c:pt idx="10">
                  <c:v>245.11107692307695</c:v>
                </c:pt>
                <c:pt idx="11">
                  <c:v>246.93538461538463</c:v>
                </c:pt>
                <c:pt idx="12">
                  <c:v>248.75969230769232</c:v>
                </c:pt>
                <c:pt idx="13">
                  <c:v>256.05692307692311</c:v>
                </c:pt>
                <c:pt idx="14">
                  <c:v>292.54307692307691</c:v>
                </c:pt>
                <c:pt idx="15">
                  <c:v>329.02923076923076</c:v>
                </c:pt>
                <c:pt idx="16">
                  <c:v>365.51538461538462</c:v>
                </c:pt>
                <c:pt idx="17">
                  <c:v>402.00153846153847</c:v>
                </c:pt>
                <c:pt idx="18">
                  <c:v>438.48769230769233</c:v>
                </c:pt>
                <c:pt idx="19">
                  <c:v>474.97384615384618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3D-4DC5-9A9D-5D43E45CC0D9}"/>
            </c:ext>
          </c:extLst>
        </c:ser>
        <c:ser>
          <c:idx val="1"/>
          <c:order val="1"/>
          <c:tx>
            <c:v>APRT VLS NT=2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Planilha1!$A$19:$A$38</c:f>
              <c:numCache>
                <c:formatCode>0.00</c:formatCode>
                <c:ptCount val="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85</c:v>
                </c:pt>
                <c:pt idx="4">
                  <c:v>100</c:v>
                </c:pt>
                <c:pt idx="5">
                  <c:v>120</c:v>
                </c:pt>
                <c:pt idx="6">
                  <c:v>124</c:v>
                </c:pt>
                <c:pt idx="7">
                  <c:v>128</c:v>
                </c:pt>
                <c:pt idx="8">
                  <c:v>130</c:v>
                </c:pt>
                <c:pt idx="9">
                  <c:v>133</c:v>
                </c:pt>
                <c:pt idx="10">
                  <c:v>134</c:v>
                </c:pt>
                <c:pt idx="11">
                  <c:v>135</c:v>
                </c:pt>
                <c:pt idx="12">
                  <c:v>136</c:v>
                </c:pt>
                <c:pt idx="13">
                  <c:v>140</c:v>
                </c:pt>
                <c:pt idx="14">
                  <c:v>160</c:v>
                </c:pt>
                <c:pt idx="15">
                  <c:v>180</c:v>
                </c:pt>
                <c:pt idx="16">
                  <c:v>200</c:v>
                </c:pt>
                <c:pt idx="17">
                  <c:v>220</c:v>
                </c:pt>
                <c:pt idx="18">
                  <c:v>240</c:v>
                </c:pt>
                <c:pt idx="19">
                  <c:v>260</c:v>
                </c:pt>
              </c:numCache>
            </c:numRef>
          </c:xVal>
          <c:yVal>
            <c:numRef>
              <c:f>Planilha1!$C$19:$C$38</c:f>
              <c:numCache>
                <c:formatCode>0.00</c:formatCode>
                <c:ptCount val="20"/>
                <c:pt idx="0">
                  <c:v>71.430000000000007</c:v>
                </c:pt>
                <c:pt idx="1">
                  <c:v>146.03277777777777</c:v>
                </c:pt>
                <c:pt idx="2">
                  <c:v>220.63555555555556</c:v>
                </c:pt>
                <c:pt idx="3">
                  <c:v>313.88902777777776</c:v>
                </c:pt>
                <c:pt idx="4">
                  <c:v>369.8411111111111</c:v>
                </c:pt>
                <c:pt idx="5">
                  <c:v>444.44388888888892</c:v>
                </c:pt>
                <c:pt idx="6">
                  <c:v>459.36444444444447</c:v>
                </c:pt>
                <c:pt idx="7">
                  <c:v>474.28500000000003</c:v>
                </c:pt>
                <c:pt idx="8">
                  <c:v>481.7452777777778</c:v>
                </c:pt>
                <c:pt idx="9">
                  <c:v>492.93569444444444</c:v>
                </c:pt>
                <c:pt idx="10">
                  <c:v>496.66583333333335</c:v>
                </c:pt>
                <c:pt idx="11">
                  <c:v>500.39597222222221</c:v>
                </c:pt>
                <c:pt idx="12">
                  <c:v>504.12611111111113</c:v>
                </c:pt>
                <c:pt idx="13">
                  <c:v>519.04666666666662</c:v>
                </c:pt>
                <c:pt idx="14">
                  <c:v>593.6494444444445</c:v>
                </c:pt>
                <c:pt idx="15">
                  <c:v>668.25222222222214</c:v>
                </c:pt>
                <c:pt idx="16">
                  <c:v>742.85500000000002</c:v>
                </c:pt>
                <c:pt idx="17">
                  <c:v>817.45777777777789</c:v>
                </c:pt>
                <c:pt idx="18">
                  <c:v>892.06055555555554</c:v>
                </c:pt>
                <c:pt idx="19">
                  <c:v>966.66333333333341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3D-4DC5-9A9D-5D43E45CC0D9}"/>
            </c:ext>
          </c:extLst>
        </c:ser>
        <c:ser>
          <c:idx val="2"/>
          <c:order val="2"/>
          <c:tx>
            <c:v>MAX VLS(160V)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Planilha1!$A$19:$A$38</c:f>
              <c:numCache>
                <c:formatCode>0.00</c:formatCode>
                <c:ptCount val="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85</c:v>
                </c:pt>
                <c:pt idx="4">
                  <c:v>100</c:v>
                </c:pt>
                <c:pt idx="5">
                  <c:v>120</c:v>
                </c:pt>
                <c:pt idx="6">
                  <c:v>124</c:v>
                </c:pt>
                <c:pt idx="7">
                  <c:v>128</c:v>
                </c:pt>
                <c:pt idx="8">
                  <c:v>130</c:v>
                </c:pt>
                <c:pt idx="9">
                  <c:v>133</c:v>
                </c:pt>
                <c:pt idx="10">
                  <c:v>134</c:v>
                </c:pt>
                <c:pt idx="11">
                  <c:v>135</c:v>
                </c:pt>
                <c:pt idx="12">
                  <c:v>136</c:v>
                </c:pt>
                <c:pt idx="13">
                  <c:v>140</c:v>
                </c:pt>
                <c:pt idx="14">
                  <c:v>160</c:v>
                </c:pt>
                <c:pt idx="15">
                  <c:v>180</c:v>
                </c:pt>
                <c:pt idx="16">
                  <c:v>200</c:v>
                </c:pt>
                <c:pt idx="17">
                  <c:v>220</c:v>
                </c:pt>
                <c:pt idx="18">
                  <c:v>240</c:v>
                </c:pt>
                <c:pt idx="19">
                  <c:v>260</c:v>
                </c:pt>
              </c:numCache>
            </c:numRef>
          </c:xVal>
          <c:yVal>
            <c:numRef>
              <c:f>Planilha1!$D$19:$D$38</c:f>
              <c:numCache>
                <c:formatCode>0.00</c:formatCode>
                <c:ptCount val="20"/>
                <c:pt idx="0">
                  <c:v>682.45428571428579</c:v>
                </c:pt>
                <c:pt idx="1">
                  <c:v>573.39142857142861</c:v>
                </c:pt>
                <c:pt idx="2">
                  <c:v>464.32857142857142</c:v>
                </c:pt>
                <c:pt idx="3">
                  <c:v>328</c:v>
                </c:pt>
                <c:pt idx="4">
                  <c:v>246.20285714285714</c:v>
                </c:pt>
                <c:pt idx="5">
                  <c:v>137.13999999999999</c:v>
                </c:pt>
                <c:pt idx="6">
                  <c:v>111</c:v>
                </c:pt>
                <c:pt idx="7">
                  <c:v>85</c:v>
                </c:pt>
                <c:pt idx="8">
                  <c:v>70</c:v>
                </c:pt>
                <c:pt idx="9">
                  <c:v>40</c:v>
                </c:pt>
                <c:pt idx="10">
                  <c:v>25</c:v>
                </c:pt>
                <c:pt idx="11">
                  <c:v>14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3D-4DC5-9A9D-5D43E45CC0D9}"/>
            </c:ext>
          </c:extLst>
        </c:ser>
        <c:ser>
          <c:idx val="3"/>
          <c:order val="3"/>
          <c:tx>
            <c:v>MAX VLS(140V)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Planilha1!$A$19:$A$38</c:f>
              <c:numCache>
                <c:formatCode>0.00</c:formatCode>
                <c:ptCount val="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85</c:v>
                </c:pt>
                <c:pt idx="4">
                  <c:v>100</c:v>
                </c:pt>
                <c:pt idx="5">
                  <c:v>120</c:v>
                </c:pt>
                <c:pt idx="6">
                  <c:v>124</c:v>
                </c:pt>
                <c:pt idx="7">
                  <c:v>128</c:v>
                </c:pt>
                <c:pt idx="8">
                  <c:v>130</c:v>
                </c:pt>
                <c:pt idx="9">
                  <c:v>133</c:v>
                </c:pt>
                <c:pt idx="10">
                  <c:v>134</c:v>
                </c:pt>
                <c:pt idx="11">
                  <c:v>135</c:v>
                </c:pt>
                <c:pt idx="12">
                  <c:v>136</c:v>
                </c:pt>
                <c:pt idx="13">
                  <c:v>140</c:v>
                </c:pt>
                <c:pt idx="14">
                  <c:v>160</c:v>
                </c:pt>
                <c:pt idx="15">
                  <c:v>180</c:v>
                </c:pt>
                <c:pt idx="16">
                  <c:v>200</c:v>
                </c:pt>
                <c:pt idx="17">
                  <c:v>220</c:v>
                </c:pt>
                <c:pt idx="18">
                  <c:v>240</c:v>
                </c:pt>
                <c:pt idx="19">
                  <c:v>260</c:v>
                </c:pt>
              </c:numCache>
            </c:numRef>
          </c:xVal>
          <c:yVal>
            <c:numRef>
              <c:f>Planilha1!$E$19:$E$38</c:f>
              <c:numCache>
                <c:formatCode>0.00</c:formatCode>
                <c:ptCount val="20"/>
                <c:pt idx="0">
                  <c:v>588.45691056910573</c:v>
                </c:pt>
                <c:pt idx="1">
                  <c:v>535.3024390243902</c:v>
                </c:pt>
                <c:pt idx="2">
                  <c:v>482.14796747967478</c:v>
                </c:pt>
                <c:pt idx="3">
                  <c:v>415.70487804878047</c:v>
                </c:pt>
                <c:pt idx="4">
                  <c:v>375.83902439024388</c:v>
                </c:pt>
                <c:pt idx="5">
                  <c:v>322.68455284552846</c:v>
                </c:pt>
                <c:pt idx="6">
                  <c:v>312.05365853658537</c:v>
                </c:pt>
                <c:pt idx="7">
                  <c:v>301.42276422764229</c:v>
                </c:pt>
                <c:pt idx="8">
                  <c:v>296.10731707317075</c:v>
                </c:pt>
                <c:pt idx="9">
                  <c:v>288.13414634146341</c:v>
                </c:pt>
                <c:pt idx="10">
                  <c:v>285.47642276422766</c:v>
                </c:pt>
                <c:pt idx="11">
                  <c:v>282.81869918699186</c:v>
                </c:pt>
                <c:pt idx="12">
                  <c:v>280.16097560975612</c:v>
                </c:pt>
                <c:pt idx="13">
                  <c:v>269.53008130081298</c:v>
                </c:pt>
                <c:pt idx="14">
                  <c:v>216.37560975609756</c:v>
                </c:pt>
                <c:pt idx="15">
                  <c:v>163.22113821138211</c:v>
                </c:pt>
                <c:pt idx="16">
                  <c:v>110.06666666666666</c:v>
                </c:pt>
                <c:pt idx="17">
                  <c:v>56.912195121951243</c:v>
                </c:pt>
                <c:pt idx="18">
                  <c:v>3.7577235772357653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73D-4DC5-9A9D-5D43E45CC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215439"/>
        <c:axId val="513214959"/>
      </c:scatterChart>
      <c:valAx>
        <c:axId val="513215439"/>
        <c:scaling>
          <c:orientation val="minMax"/>
          <c:max val="2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3214959"/>
        <c:crosses val="autoZero"/>
        <c:crossBetween val="midCat"/>
        <c:majorUnit val="20"/>
      </c:valAx>
      <c:valAx>
        <c:axId val="513214959"/>
        <c:scaling>
          <c:orientation val="minMax"/>
          <c:max val="3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3215439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1087452</xdr:colOff>
      <xdr:row>12</xdr:row>
      <xdr:rowOff>42687</xdr:rowOff>
    </xdr:from>
    <xdr:ext cx="705414" cy="26898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E9D54E5A-FFDB-3E5B-4E04-1B2FE880DE6C}"/>
                </a:ext>
              </a:extLst>
            </xdr:cNvPr>
            <xdr:cNvSpPr txBox="1"/>
          </xdr:nvSpPr>
          <xdr:spPr>
            <a:xfrm>
              <a:off x="4311298" y="2328687"/>
              <a:ext cx="705414" cy="2689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pt-BR" sz="1200"/>
                <a:t>m</a:t>
              </a:r>
              <a14:m>
                <m:oMath xmlns:m="http://schemas.openxmlformats.org/officeDocument/2006/math">
                  <m:r>
                    <a:rPr lang="pt-BR" sz="1200" b="0" i="0">
                      <a:latin typeface="Cambria Math" panose="02040503050406030204" pitchFamily="18" charset="0"/>
                    </a:rPr>
                    <m:t> </m:t>
                  </m:r>
                  <m:r>
                    <a:rPr lang="pt-BR" sz="120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pt-BR" sz="12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pt-BR" sz="12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pt-BR" sz="1200" b="0" i="1">
                              <a:latin typeface="Cambria Math" panose="02040503050406030204" pitchFamily="18" charset="0"/>
                            </a:rPr>
                            <m:t>𝑦</m:t>
                          </m:r>
                        </m:e>
                        <m:sub>
                          <m:r>
                            <a:rPr lang="pt-BR" sz="1200" b="0" i="1">
                              <a:latin typeface="Cambria Math" panose="02040503050406030204" pitchFamily="18" charset="0"/>
                            </a:rPr>
                            <m:t>2</m:t>
                          </m:r>
                        </m:sub>
                      </m:sSub>
                      <m:r>
                        <a:rPr lang="pt-BR" sz="1200" i="1">
                          <a:latin typeface="Cambria Math" panose="02040503050406030204" pitchFamily="18" charset="0"/>
                        </a:rPr>
                        <m:t>−</m:t>
                      </m:r>
                      <m:sSub>
                        <m:sSubPr>
                          <m:ctrlPr>
                            <a:rPr lang="pt-BR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pt-BR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𝑦</m:t>
                          </m:r>
                        </m:e>
                        <m:sub>
                          <m:r>
                            <a:rPr lang="pt-BR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1</m:t>
                          </m:r>
                        </m:sub>
                      </m:sSub>
                    </m:num>
                    <m:den>
                      <m:sSub>
                        <m:sSubPr>
                          <m:ctrlPr>
                            <a:rPr lang="pt-BR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pt-BR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𝑥</m:t>
                          </m:r>
                        </m:e>
                        <m:sub>
                          <m:r>
                            <a:rPr lang="pt-BR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2</m:t>
                          </m:r>
                        </m:sub>
                      </m:sSub>
                      <m:r>
                        <a:rPr lang="pt-BR" sz="1200" b="0" i="1">
                          <a:latin typeface="Cambria Math" panose="02040503050406030204" pitchFamily="18" charset="0"/>
                        </a:rPr>
                        <m:t>−</m:t>
                      </m:r>
                      <m:sSub>
                        <m:sSubPr>
                          <m:ctrlPr>
                            <a:rPr lang="pt-BR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pt-BR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𝑥</m:t>
                          </m:r>
                        </m:e>
                        <m:sub>
                          <m:r>
                            <a:rPr lang="pt-BR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1</m:t>
                          </m:r>
                        </m:sub>
                      </m:sSub>
                    </m:den>
                  </m:f>
                </m:oMath>
              </a14:m>
              <a:endParaRPr lang="pt-BR" sz="1200"/>
            </a:p>
          </xdr:txBody>
        </xdr:sp>
      </mc:Choice>
      <mc:Fallback xmlns="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E9D54E5A-FFDB-3E5B-4E04-1B2FE880DE6C}"/>
                </a:ext>
              </a:extLst>
            </xdr:cNvPr>
            <xdr:cNvSpPr txBox="1"/>
          </xdr:nvSpPr>
          <xdr:spPr>
            <a:xfrm>
              <a:off x="4311298" y="2328687"/>
              <a:ext cx="705414" cy="2689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pt-BR" sz="1200"/>
                <a:t>m</a:t>
              </a:r>
              <a:r>
                <a:rPr lang="pt-BR" sz="1200" b="0" i="0">
                  <a:latin typeface="Cambria Math" panose="02040503050406030204" pitchFamily="18" charset="0"/>
                </a:rPr>
                <a:t> </a:t>
              </a:r>
              <a:r>
                <a:rPr lang="pt-BR" sz="1200" i="0">
                  <a:latin typeface="Cambria Math" panose="02040503050406030204" pitchFamily="18" charset="0"/>
                </a:rPr>
                <a:t>=(</a:t>
              </a:r>
              <a:r>
                <a:rPr lang="pt-BR" sz="1200" b="0" i="0">
                  <a:latin typeface="Cambria Math" panose="02040503050406030204" pitchFamily="18" charset="0"/>
                </a:rPr>
                <a:t>𝑦_2</a:t>
              </a:r>
              <a:r>
                <a:rPr lang="pt-BR" sz="1200" i="0">
                  <a:latin typeface="Cambria Math" panose="02040503050406030204" pitchFamily="18" charset="0"/>
                </a:rPr>
                <a:t>−</a:t>
              </a:r>
              <a:r>
                <a:rPr lang="pt-BR" sz="12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𝑦_</a:t>
              </a:r>
              <a:r>
                <a:rPr lang="pt-BR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1)/(𝑥</a:t>
              </a:r>
              <a:r>
                <a:rPr lang="pt-BR" sz="12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_2</a:t>
              </a:r>
              <a:r>
                <a:rPr lang="pt-BR" sz="1200" b="0" i="0">
                  <a:latin typeface="Cambria Math" panose="02040503050406030204" pitchFamily="18" charset="0"/>
                </a:rPr>
                <a:t>−</a:t>
              </a:r>
              <a:r>
                <a:rPr lang="pt-BR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pt-BR" sz="12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pt-BR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1 )</a:t>
              </a:r>
              <a:endParaRPr lang="pt-BR" sz="1200"/>
            </a:p>
          </xdr:txBody>
        </xdr:sp>
      </mc:Fallback>
    </mc:AlternateContent>
    <xdr:clientData/>
  </xdr:oneCellAnchor>
  <xdr:oneCellAnchor>
    <xdr:from>
      <xdr:col>2</xdr:col>
      <xdr:colOff>883766</xdr:colOff>
      <xdr:row>10</xdr:row>
      <xdr:rowOff>113891</xdr:rowOff>
    </xdr:from>
    <xdr:ext cx="1176925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3A089641-6E07-8CB7-3525-2EBD6E8314B8}"/>
                </a:ext>
              </a:extLst>
            </xdr:cNvPr>
            <xdr:cNvSpPr txBox="1"/>
          </xdr:nvSpPr>
          <xdr:spPr>
            <a:xfrm>
              <a:off x="4107612" y="2018891"/>
              <a:ext cx="117692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pt-BR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𝑦</m:t>
                  </m:r>
                  <m:r>
                    <a:rPr lang="pt-BR" sz="110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−</m:t>
                  </m:r>
                  <m:sSub>
                    <m:sSubPr>
                      <m:ctrlPr>
                        <a:rPr lang="pt-BR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pt-BR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𝑦</m:t>
                      </m:r>
                    </m:e>
                    <m:sub>
                      <m:r>
                        <a:rPr lang="pt-BR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1</m:t>
                      </m:r>
                    </m:sub>
                  </m:sSub>
                  <m:r>
                    <a:rPr lang="pt-BR" sz="1100" i="1">
                      <a:latin typeface="Cambria Math" panose="02040503050406030204" pitchFamily="18" charset="0"/>
                    </a:rPr>
                    <m:t>=</m:t>
                  </m:r>
                  <m:r>
                    <a:rPr lang="pt-BR" sz="1100" b="0" i="1">
                      <a:latin typeface="Cambria Math" panose="02040503050406030204" pitchFamily="18" charset="0"/>
                    </a:rPr>
                    <m:t>𝑚</m:t>
                  </m:r>
                  <m:r>
                    <a:rPr lang="pt-BR" sz="1100" b="0" i="1">
                      <a:latin typeface="Cambria Math" panose="02040503050406030204" pitchFamily="18" charset="0"/>
                    </a:rPr>
                    <m:t>(</m:t>
                  </m:r>
                  <m:r>
                    <a:rPr lang="pt-BR" sz="1100" b="0" i="1">
                      <a:latin typeface="Cambria Math" panose="02040503050406030204" pitchFamily="18" charset="0"/>
                    </a:rPr>
                    <m:t>𝑥</m:t>
                  </m:r>
                  <m:r>
                    <a:rPr lang="pt-BR" sz="110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−</m:t>
                  </m:r>
                  <m:sSub>
                    <m:sSubPr>
                      <m:ctrlPr>
                        <a:rPr lang="pt-BR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pt-BR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pt-BR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1</m:t>
                      </m:r>
                    </m:sub>
                  </m:sSub>
                </m:oMath>
              </a14:m>
              <a:r>
                <a:rPr lang="pt-BR" sz="1100"/>
                <a:t>)</a:t>
              </a:r>
            </a:p>
          </xdr:txBody>
        </xdr:sp>
      </mc:Choice>
      <mc:Fallback xmlns="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3A089641-6E07-8CB7-3525-2EBD6E8314B8}"/>
                </a:ext>
              </a:extLst>
            </xdr:cNvPr>
            <xdr:cNvSpPr txBox="1"/>
          </xdr:nvSpPr>
          <xdr:spPr>
            <a:xfrm>
              <a:off x="4107612" y="2018891"/>
              <a:ext cx="117692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pt-BR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𝑦_1</a:t>
              </a:r>
              <a:r>
                <a:rPr lang="pt-BR" sz="1100" i="0">
                  <a:latin typeface="Cambria Math" panose="02040503050406030204" pitchFamily="18" charset="0"/>
                </a:rPr>
                <a:t>=</a:t>
              </a:r>
              <a:r>
                <a:rPr lang="pt-BR" sz="1100" b="0" i="0">
                  <a:latin typeface="Cambria Math" panose="02040503050406030204" pitchFamily="18" charset="0"/>
                </a:rPr>
                <a:t>𝑚(𝑥</a:t>
              </a:r>
              <a:r>
                <a:rPr lang="pt-BR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_1</a:t>
              </a:r>
              <a:r>
                <a:rPr lang="pt-BR" sz="1100"/>
                <a:t>)</a:t>
              </a:r>
            </a:p>
          </xdr:txBody>
        </xdr:sp>
      </mc:Fallback>
    </mc:AlternateContent>
    <xdr:clientData/>
  </xdr:oneCellAnchor>
  <xdr:twoCellAnchor>
    <xdr:from>
      <xdr:col>5</xdr:col>
      <xdr:colOff>150203</xdr:colOff>
      <xdr:row>15</xdr:row>
      <xdr:rowOff>152399</xdr:rowOff>
    </xdr:from>
    <xdr:to>
      <xdr:col>21</xdr:col>
      <xdr:colOff>29309</xdr:colOff>
      <xdr:row>40</xdr:row>
      <xdr:rowOff>183173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5BE0213-11DD-E271-D892-B74C6DA9D8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0E3F3-3A90-4523-B064-96FD5E2AAD42}">
  <dimension ref="A1:I38"/>
  <sheetViews>
    <sheetView tabSelected="1" topLeftCell="D1" zoomScale="130" zoomScaleNormal="130" workbookViewId="0">
      <selection activeCell="R7" sqref="R7:S7"/>
    </sheetView>
  </sheetViews>
  <sheetFormatPr defaultRowHeight="15" x14ac:dyDescent="0.25"/>
  <cols>
    <col min="1" max="1" width="22.5703125" customWidth="1"/>
    <col min="2" max="2" width="21.5703125" customWidth="1"/>
    <col min="3" max="3" width="20" customWidth="1"/>
    <col min="4" max="4" width="15" customWidth="1"/>
    <col min="5" max="5" width="14.28515625" customWidth="1"/>
  </cols>
  <sheetData>
    <row r="1" spans="1:9" x14ac:dyDescent="0.25">
      <c r="A1" s="1" t="s">
        <v>4</v>
      </c>
      <c r="B1" s="2">
        <v>150</v>
      </c>
      <c r="C1" s="1"/>
      <c r="D1" s="1"/>
      <c r="E1" s="1"/>
      <c r="F1" s="1"/>
      <c r="G1" s="1"/>
      <c r="H1" s="1"/>
      <c r="I1" s="1"/>
    </row>
    <row r="2" spans="1:9" x14ac:dyDescent="0.25">
      <c r="A2" s="1" t="s">
        <v>2</v>
      </c>
      <c r="B2" s="2">
        <v>328</v>
      </c>
      <c r="C2" s="3"/>
      <c r="D2" s="3"/>
      <c r="E2" s="3"/>
      <c r="F2" s="3"/>
      <c r="G2" s="1"/>
      <c r="H2" s="1"/>
      <c r="I2" s="1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x14ac:dyDescent="0.25">
      <c r="A4" s="1"/>
      <c r="B4" s="5" t="s">
        <v>9</v>
      </c>
      <c r="C4" s="5" t="s">
        <v>10</v>
      </c>
      <c r="D4" s="5" t="s">
        <v>11</v>
      </c>
      <c r="E4" s="5" t="s">
        <v>12</v>
      </c>
      <c r="F4" s="5" t="s">
        <v>8</v>
      </c>
      <c r="G4" s="1"/>
      <c r="H4" s="1"/>
      <c r="I4" s="1"/>
    </row>
    <row r="5" spans="1:9" x14ac:dyDescent="0.25">
      <c r="A5" s="1" t="s">
        <v>1</v>
      </c>
      <c r="B5" s="4">
        <v>20</v>
      </c>
      <c r="C5" s="4">
        <v>150</v>
      </c>
      <c r="D5" s="4">
        <v>37.14</v>
      </c>
      <c r="E5" s="4">
        <v>274.3</v>
      </c>
      <c r="F5" s="4">
        <f>(E5-D5)/(C5-B5)</f>
        <v>1.8243076923076924</v>
      </c>
      <c r="G5" s="1"/>
      <c r="H5" s="1"/>
      <c r="I5" s="1"/>
    </row>
    <row r="6" spans="1:9" x14ac:dyDescent="0.25">
      <c r="A6" s="1" t="s">
        <v>0</v>
      </c>
      <c r="B6" s="4">
        <v>20</v>
      </c>
      <c r="C6" s="4">
        <v>92</v>
      </c>
      <c r="D6" s="4">
        <v>71.430000000000007</v>
      </c>
      <c r="E6" s="4">
        <v>340</v>
      </c>
      <c r="F6" s="4">
        <f>(E6-D6)/(C6-B6)</f>
        <v>3.7301388888888889</v>
      </c>
      <c r="G6" s="1"/>
      <c r="H6" s="1"/>
      <c r="I6" s="1"/>
    </row>
    <row r="7" spans="1:9" x14ac:dyDescent="0.25">
      <c r="A7" s="1" t="s">
        <v>3</v>
      </c>
      <c r="B7" s="4">
        <v>85</v>
      </c>
      <c r="C7" s="4">
        <v>120</v>
      </c>
      <c r="D7" s="4">
        <v>328</v>
      </c>
      <c r="E7" s="4">
        <v>137.13999999999999</v>
      </c>
      <c r="F7" s="4">
        <f>(E7-D7)/(C7-B7)</f>
        <v>-5.4531428571428577</v>
      </c>
      <c r="G7" s="1"/>
      <c r="H7" s="1"/>
      <c r="I7" s="1"/>
    </row>
    <row r="8" spans="1:9" x14ac:dyDescent="0.25">
      <c r="A8" s="1" t="s">
        <v>5</v>
      </c>
      <c r="B8" s="4">
        <v>118</v>
      </c>
      <c r="C8" s="4">
        <v>241</v>
      </c>
      <c r="D8" s="4">
        <v>328</v>
      </c>
      <c r="E8" s="4">
        <v>1.1000000000000001</v>
      </c>
      <c r="F8" s="4">
        <f>(E8-D8)/(C8-B8)</f>
        <v>-2.6577235772357723</v>
      </c>
      <c r="G8" s="1"/>
      <c r="H8" s="1"/>
      <c r="I8" s="1"/>
    </row>
    <row r="9" spans="1:9" x14ac:dyDescent="0.25">
      <c r="A9" s="1"/>
      <c r="B9" s="1"/>
      <c r="C9" s="1"/>
      <c r="D9" s="1"/>
      <c r="E9" s="1"/>
      <c r="F9" s="1"/>
      <c r="G9" s="1"/>
      <c r="H9" s="1"/>
      <c r="I9" s="1"/>
    </row>
    <row r="10" spans="1:9" ht="3.75" customHeight="1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25">
      <c r="A11" s="1"/>
      <c r="B11" s="1"/>
      <c r="C11" s="2"/>
      <c r="D11" s="2"/>
      <c r="E11" s="1"/>
      <c r="F11" s="1"/>
      <c r="G11" s="1"/>
      <c r="H11" s="1"/>
      <c r="I11" s="1"/>
    </row>
    <row r="12" spans="1:9" x14ac:dyDescent="0.25">
      <c r="A12" s="1"/>
      <c r="B12" s="1"/>
      <c r="C12" s="2"/>
      <c r="D12" s="2"/>
      <c r="E12" s="1"/>
      <c r="F12" s="1"/>
      <c r="G12" s="1"/>
      <c r="H12" s="1"/>
      <c r="I12" s="1"/>
    </row>
    <row r="13" spans="1:9" x14ac:dyDescent="0.25">
      <c r="A13" s="1"/>
      <c r="B13" s="1"/>
      <c r="C13" s="2"/>
      <c r="D13" s="2"/>
      <c r="E13" s="1"/>
      <c r="F13" s="1"/>
      <c r="G13" s="1"/>
      <c r="H13" s="1"/>
      <c r="I13" s="1"/>
    </row>
    <row r="14" spans="1:9" x14ac:dyDescent="0.25">
      <c r="A14" s="1"/>
      <c r="B14" s="1"/>
      <c r="C14" s="2"/>
      <c r="D14" s="2"/>
      <c r="E14" s="1"/>
      <c r="F14" s="1"/>
      <c r="G14" s="1"/>
      <c r="H14" s="1"/>
      <c r="I14" s="1"/>
    </row>
    <row r="15" spans="1:9" x14ac:dyDescent="0.25">
      <c r="A15" s="1"/>
      <c r="B15" s="1"/>
      <c r="C15" s="1"/>
      <c r="D15" s="1"/>
      <c r="E15" s="1"/>
      <c r="F15" s="1"/>
      <c r="G15" s="1"/>
      <c r="H15" s="1"/>
      <c r="I15" s="1"/>
    </row>
    <row r="17" spans="1:5" x14ac:dyDescent="0.25">
      <c r="A17" s="10" t="s">
        <v>6</v>
      </c>
      <c r="B17" s="9" t="s">
        <v>7</v>
      </c>
      <c r="C17" s="9"/>
      <c r="D17" s="9"/>
      <c r="E17" s="9"/>
    </row>
    <row r="18" spans="1:5" x14ac:dyDescent="0.25">
      <c r="A18" s="10"/>
      <c r="B18" s="6" t="str">
        <f>A5</f>
        <v>APRT VLS 0.007(NT=1)</v>
      </c>
      <c r="C18" s="6" t="str">
        <f>A6</f>
        <v>APRT VLS 0.007(NT=2)</v>
      </c>
      <c r="D18" s="6" t="str">
        <f>A7</f>
        <v>Max VLS(160V)</v>
      </c>
      <c r="E18" s="6" t="str">
        <f>A8</f>
        <v>Max VLS(140V)</v>
      </c>
    </row>
    <row r="19" spans="1:5" x14ac:dyDescent="0.25">
      <c r="A19" s="8">
        <v>20</v>
      </c>
      <c r="B19" s="7">
        <f>$F$5*(A19-$B$5)+$D$5</f>
        <v>37.14</v>
      </c>
      <c r="C19" s="7">
        <f>$F$6*(A19-$B$6)+$D$6</f>
        <v>71.430000000000007</v>
      </c>
      <c r="D19" s="7">
        <f>$F$7*(A19-$B$7)+$D$7</f>
        <v>682.45428571428579</v>
      </c>
      <c r="E19" s="7">
        <f>$F$8*(A19-$B$8)+$D$8</f>
        <v>588.45691056910573</v>
      </c>
    </row>
    <row r="20" spans="1:5" x14ac:dyDescent="0.25">
      <c r="A20" s="8">
        <v>40</v>
      </c>
      <c r="B20" s="7">
        <f t="shared" ref="B20:B38" si="0">$F$5*(A20-$B$5)+$D$5</f>
        <v>73.626153846153841</v>
      </c>
      <c r="C20" s="7">
        <f t="shared" ref="C20:C38" si="1">$F$6*(A20-$B$6)+$D$6</f>
        <v>146.03277777777777</v>
      </c>
      <c r="D20" s="7">
        <f t="shared" ref="D20:D24" si="2">$F$7*(A20-$B$7)+$D$7</f>
        <v>573.39142857142861</v>
      </c>
      <c r="E20" s="7">
        <f t="shared" ref="E20:E37" si="3">$F$8*(A20-$B$8)+$D$8</f>
        <v>535.3024390243902</v>
      </c>
    </row>
    <row r="21" spans="1:5" x14ac:dyDescent="0.25">
      <c r="A21" s="8">
        <v>60</v>
      </c>
      <c r="B21" s="7">
        <f t="shared" si="0"/>
        <v>110.1123076923077</v>
      </c>
      <c r="C21" s="7">
        <f t="shared" si="1"/>
        <v>220.63555555555556</v>
      </c>
      <c r="D21" s="7">
        <f t="shared" si="2"/>
        <v>464.32857142857142</v>
      </c>
      <c r="E21" s="7">
        <f t="shared" si="3"/>
        <v>482.14796747967478</v>
      </c>
    </row>
    <row r="22" spans="1:5" x14ac:dyDescent="0.25">
      <c r="A22" s="8">
        <v>85</v>
      </c>
      <c r="B22" s="7">
        <f t="shared" si="0"/>
        <v>155.72000000000003</v>
      </c>
      <c r="C22" s="7">
        <f t="shared" si="1"/>
        <v>313.88902777777776</v>
      </c>
      <c r="D22" s="7">
        <f t="shared" si="2"/>
        <v>328</v>
      </c>
      <c r="E22" s="7">
        <f t="shared" si="3"/>
        <v>415.70487804878047</v>
      </c>
    </row>
    <row r="23" spans="1:5" x14ac:dyDescent="0.25">
      <c r="A23" s="8">
        <v>100</v>
      </c>
      <c r="B23" s="7">
        <f t="shared" si="0"/>
        <v>183.0846153846154</v>
      </c>
      <c r="C23" s="7">
        <f t="shared" si="1"/>
        <v>369.8411111111111</v>
      </c>
      <c r="D23" s="7">
        <f t="shared" si="2"/>
        <v>246.20285714285714</v>
      </c>
      <c r="E23" s="7">
        <f t="shared" si="3"/>
        <v>375.83902439024388</v>
      </c>
    </row>
    <row r="24" spans="1:5" x14ac:dyDescent="0.25">
      <c r="A24" s="8">
        <v>120</v>
      </c>
      <c r="B24" s="7">
        <f t="shared" si="0"/>
        <v>219.57076923076926</v>
      </c>
      <c r="C24" s="7">
        <f t="shared" si="1"/>
        <v>444.44388888888892</v>
      </c>
      <c r="D24" s="7">
        <f t="shared" si="2"/>
        <v>137.13999999999999</v>
      </c>
      <c r="E24" s="7">
        <f t="shared" si="3"/>
        <v>322.68455284552846</v>
      </c>
    </row>
    <row r="25" spans="1:5" x14ac:dyDescent="0.25">
      <c r="A25" s="8">
        <v>124</v>
      </c>
      <c r="B25" s="7">
        <f t="shared" si="0"/>
        <v>226.86799999999999</v>
      </c>
      <c r="C25" s="7">
        <f t="shared" si="1"/>
        <v>459.36444444444447</v>
      </c>
      <c r="D25" s="7">
        <v>111</v>
      </c>
      <c r="E25" s="7">
        <f t="shared" si="3"/>
        <v>312.05365853658537</v>
      </c>
    </row>
    <row r="26" spans="1:5" x14ac:dyDescent="0.25">
      <c r="A26" s="8">
        <v>128</v>
      </c>
      <c r="B26" s="7">
        <f t="shared" si="0"/>
        <v>234.16523076923079</v>
      </c>
      <c r="C26" s="7">
        <f t="shared" si="1"/>
        <v>474.28500000000003</v>
      </c>
      <c r="D26" s="7">
        <v>85</v>
      </c>
      <c r="E26" s="7">
        <f t="shared" si="3"/>
        <v>301.42276422764229</v>
      </c>
    </row>
    <row r="27" spans="1:5" x14ac:dyDescent="0.25">
      <c r="A27" s="8">
        <v>130</v>
      </c>
      <c r="B27" s="7">
        <f t="shared" si="0"/>
        <v>237.81384615384616</v>
      </c>
      <c r="C27" s="7">
        <f t="shared" si="1"/>
        <v>481.7452777777778</v>
      </c>
      <c r="D27" s="7">
        <v>70</v>
      </c>
      <c r="E27" s="7">
        <f t="shared" si="3"/>
        <v>296.10731707317075</v>
      </c>
    </row>
    <row r="28" spans="1:5" x14ac:dyDescent="0.25">
      <c r="A28" s="8">
        <v>133</v>
      </c>
      <c r="B28" s="7">
        <f t="shared" si="0"/>
        <v>243.28676923076927</v>
      </c>
      <c r="C28" s="7">
        <f t="shared" si="1"/>
        <v>492.93569444444444</v>
      </c>
      <c r="D28" s="7">
        <v>40</v>
      </c>
      <c r="E28" s="7">
        <f t="shared" si="3"/>
        <v>288.13414634146341</v>
      </c>
    </row>
    <row r="29" spans="1:5" x14ac:dyDescent="0.25">
      <c r="A29" s="8">
        <v>134</v>
      </c>
      <c r="B29" s="7">
        <f t="shared" si="0"/>
        <v>245.11107692307695</v>
      </c>
      <c r="C29" s="7">
        <f t="shared" si="1"/>
        <v>496.66583333333335</v>
      </c>
      <c r="D29" s="7">
        <v>25</v>
      </c>
      <c r="E29" s="7">
        <f t="shared" si="3"/>
        <v>285.47642276422766</v>
      </c>
    </row>
    <row r="30" spans="1:5" x14ac:dyDescent="0.25">
      <c r="A30" s="8">
        <v>135</v>
      </c>
      <c r="B30" s="7">
        <f t="shared" si="0"/>
        <v>246.93538461538463</v>
      </c>
      <c r="C30" s="7">
        <f t="shared" si="1"/>
        <v>500.39597222222221</v>
      </c>
      <c r="D30" s="7">
        <v>14</v>
      </c>
      <c r="E30" s="7">
        <f t="shared" si="3"/>
        <v>282.81869918699186</v>
      </c>
    </row>
    <row r="31" spans="1:5" x14ac:dyDescent="0.25">
      <c r="A31" s="8">
        <v>136</v>
      </c>
      <c r="B31" s="7">
        <f t="shared" si="0"/>
        <v>248.75969230769232</v>
      </c>
      <c r="C31" s="7">
        <f t="shared" si="1"/>
        <v>504.12611111111113</v>
      </c>
      <c r="D31" s="7">
        <v>0</v>
      </c>
      <c r="E31" s="7">
        <f t="shared" si="3"/>
        <v>280.16097560975612</v>
      </c>
    </row>
    <row r="32" spans="1:5" x14ac:dyDescent="0.25">
      <c r="A32" s="8">
        <v>140</v>
      </c>
      <c r="B32" s="7">
        <f t="shared" si="0"/>
        <v>256.05692307692311</v>
      </c>
      <c r="C32" s="7">
        <f t="shared" si="1"/>
        <v>519.04666666666662</v>
      </c>
      <c r="D32" s="7">
        <v>0</v>
      </c>
      <c r="E32" s="7">
        <f t="shared" si="3"/>
        <v>269.53008130081298</v>
      </c>
    </row>
    <row r="33" spans="1:5" x14ac:dyDescent="0.25">
      <c r="A33" s="8">
        <v>160</v>
      </c>
      <c r="B33" s="7">
        <f t="shared" si="0"/>
        <v>292.54307692307691</v>
      </c>
      <c r="C33" s="7">
        <f t="shared" si="1"/>
        <v>593.6494444444445</v>
      </c>
      <c r="D33" s="7">
        <v>0</v>
      </c>
      <c r="E33" s="7">
        <f t="shared" si="3"/>
        <v>216.37560975609756</v>
      </c>
    </row>
    <row r="34" spans="1:5" x14ac:dyDescent="0.25">
      <c r="A34" s="8">
        <v>180</v>
      </c>
      <c r="B34" s="7">
        <f t="shared" si="0"/>
        <v>329.02923076923076</v>
      </c>
      <c r="C34" s="7">
        <f t="shared" si="1"/>
        <v>668.25222222222214</v>
      </c>
      <c r="D34" s="7">
        <v>0</v>
      </c>
      <c r="E34" s="7">
        <f t="shared" si="3"/>
        <v>163.22113821138211</v>
      </c>
    </row>
    <row r="35" spans="1:5" x14ac:dyDescent="0.25">
      <c r="A35" s="8">
        <v>200</v>
      </c>
      <c r="B35" s="7">
        <f t="shared" si="0"/>
        <v>365.51538461538462</v>
      </c>
      <c r="C35" s="7">
        <f t="shared" si="1"/>
        <v>742.85500000000002</v>
      </c>
      <c r="D35" s="7">
        <v>0</v>
      </c>
      <c r="E35" s="7">
        <f t="shared" si="3"/>
        <v>110.06666666666666</v>
      </c>
    </row>
    <row r="36" spans="1:5" x14ac:dyDescent="0.25">
      <c r="A36" s="8">
        <v>220</v>
      </c>
      <c r="B36" s="7">
        <f t="shared" si="0"/>
        <v>402.00153846153847</v>
      </c>
      <c r="C36" s="7">
        <f t="shared" si="1"/>
        <v>817.45777777777789</v>
      </c>
      <c r="D36" s="7">
        <v>0</v>
      </c>
      <c r="E36" s="7">
        <f t="shared" si="3"/>
        <v>56.912195121951243</v>
      </c>
    </row>
    <row r="37" spans="1:5" x14ac:dyDescent="0.25">
      <c r="A37" s="8">
        <v>240</v>
      </c>
      <c r="B37" s="7">
        <f t="shared" si="0"/>
        <v>438.48769230769233</v>
      </c>
      <c r="C37" s="7">
        <f t="shared" si="1"/>
        <v>892.06055555555554</v>
      </c>
      <c r="D37" s="7">
        <v>0</v>
      </c>
      <c r="E37" s="7">
        <f t="shared" si="3"/>
        <v>3.7577235772357653</v>
      </c>
    </row>
    <row r="38" spans="1:5" x14ac:dyDescent="0.25">
      <c r="A38" s="8">
        <v>260</v>
      </c>
      <c r="B38" s="7">
        <f t="shared" si="0"/>
        <v>474.97384615384618</v>
      </c>
      <c r="C38" s="7">
        <f t="shared" si="1"/>
        <v>966.66333333333341</v>
      </c>
      <c r="D38" s="7">
        <v>0</v>
      </c>
      <c r="E38" s="7">
        <v>0</v>
      </c>
    </row>
  </sheetData>
  <mergeCells count="2">
    <mergeCell ref="B17:E17"/>
    <mergeCell ref="A17:A18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Alexandre Dias</dc:creator>
  <cp:lastModifiedBy>Carlos Alexandre Dias</cp:lastModifiedBy>
  <dcterms:created xsi:type="dcterms:W3CDTF">2025-09-12T14:26:34Z</dcterms:created>
  <dcterms:modified xsi:type="dcterms:W3CDTF">2025-09-15T14:49:44Z</dcterms:modified>
</cp:coreProperties>
</file>